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1B3CAC40-1A40-4BD0-8AF6-AF872B2AA2A2}" xr6:coauthVersionLast="47" xr6:coauthVersionMax="47" xr10:uidLastSave="{00000000-0000-0000-0000-000000000000}"/>
  <bookViews>
    <workbookView xWindow="-110" yWindow="-110" windowWidth="19420" windowHeight="10300" xr2:uid="{2A23C9B7-52B7-4DD6-80C4-048B20D4BA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7" i="1" l="1"/>
  <c r="C36" i="1"/>
  <c r="C35" i="1"/>
  <c r="C34" i="1"/>
  <c r="C33" i="1"/>
  <c r="F4" i="1"/>
  <c r="E4" i="1"/>
  <c r="D4" i="1"/>
  <c r="C22" i="1"/>
  <c r="C11" i="1"/>
  <c r="C24" i="1"/>
  <c r="C12" i="1"/>
  <c r="C10" i="1"/>
  <c r="C21" i="1"/>
  <c r="C5" i="1"/>
  <c r="C7" i="1"/>
  <c r="C8" i="1"/>
  <c r="C13" i="1"/>
  <c r="C4" i="1"/>
  <c r="C15" i="1"/>
  <c r="C17" i="1"/>
  <c r="C18" i="1"/>
  <c r="C27" i="1"/>
  <c r="C9" i="1"/>
  <c r="C16" i="1"/>
  <c r="C23" i="1"/>
  <c r="C19" i="1"/>
  <c r="C29" i="1"/>
  <c r="C14" i="1"/>
  <c r="C28" i="1"/>
  <c r="C30" i="1"/>
  <c r="C26" i="1"/>
  <c r="C6" i="1"/>
  <c r="C25" i="1"/>
  <c r="C20" i="1"/>
</calcChain>
</file>

<file path=xl/sharedStrings.xml><?xml version="1.0" encoding="utf-8"?>
<sst xmlns="http://schemas.openxmlformats.org/spreadsheetml/2006/main" count="42" uniqueCount="28">
  <si>
    <t>Kabupaten/
Kota</t>
  </si>
  <si>
    <t>Persentase 
Kemiskinan</t>
  </si>
  <si>
    <t>Ranking 
Daerah</t>
  </si>
  <si>
    <t>Rata-rata 
Kemiskinan</t>
  </si>
  <si>
    <t>Nilai 
Tertinggi</t>
  </si>
  <si>
    <t>Nilai 
Terendah</t>
  </si>
  <si>
    <t>Jumlah Kemiskinan di Jawa Barat Tahun 2022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</si>
  <si>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</si>
  <si>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</si>
  <si>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</si>
  <si>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</si>
  <si>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</si>
  <si>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</si>
  <si>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</si>
  <si>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</si>
  <si>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</si>
  <si>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</si>
  <si>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</si>
  <si>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</si>
  <si>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</si>
  <si>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</si>
  <si>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</si>
  <si>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</si>
  <si>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</si>
  <si>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</si>
  <si>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Depok</t>
  </si>
  <si>
    <t>Cimahi</t>
  </si>
  <si>
    <t>Banjar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</si>
</sst>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164" fontId="3" fillId="0" borderId="0" xfId="1" applyNumberFormat="1" applyFont="1"/>
    <xf numFmtId="2" fontId="3" fillId="0" borderId="0" xfId="0" applyNumberFormat="1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43" fontId="3" fillId="0" borderId="1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D"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5 Kabupaten/Kota dengan Tingkat Kemiskinan Tertinggi di Jawa Barat Tahun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Persentase 
Kemiskinan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Sheet1!$A$4:$A$8</c:f>
              <c:strCache>
                <c:ptCount val="5"/>
                <c:pt idx="0">
                  <c:v>Indramayu</c:v>
                </c:pt>
                <c:pt idx="1">
                  <c:v>Kuningan</c:v>
                </c:pt>
                <c:pt idx="2">
                  <c:v>Tasikmalaya</c:v>
                </c:pt>
                <c:pt idx="3">
                  <c:v>Cirebon</c:v>
                </c:pt>
                <c:pt idx="4">
                  <c:v>Majalengka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5"/>
                <c:pt idx="0">
                  <c:v>12.77</c:v>
                </c:pt>
                <c:pt idx="1">
                  <c:v>12.76</c:v>
                </c:pt>
                <c:pt idx="2">
                  <c:v>12.72</c:v>
                </c:pt>
                <c:pt idx="3">
                  <c:v>12.01</c:v>
                </c:pt>
                <c:pt idx="4">
                  <c:v>11.94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F6-4C24-B22E-89CC2B449CE6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Ranking 
Daerah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Sheet1!$A$4:$A$8</c:f>
              <c:strCache>
                <c:ptCount val="5"/>
                <c:pt idx="0">
                  <c:v>Indramayu</c:v>
                </c:pt>
                <c:pt idx="1">
                  <c:v>Kuningan</c:v>
                </c:pt>
                <c:pt idx="2">
                  <c:v>Tasikmalaya</c:v>
                </c:pt>
                <c:pt idx="3">
                  <c:v>Cirebon</c:v>
                </c:pt>
                <c:pt idx="4">
                  <c:v>Majalengka</c:v>
                </c:pt>
              </c:strCache>
            </c:strRef>
          </c:cat>
          <c:val>
            <c:numRef>
              <c:f>Sheet1!$C$4:$C$8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F6-4C24-B22E-89CC2B449C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9546080"/>
        <c:axId val="1989549920"/>
      </c:barChart>
      <c:catAx>
        <c:axId val="198954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89549920"/>
        <c:crosses val="autoZero"/>
        <c:auto val="1"/>
        <c:lblAlgn val="ctr"/>
        <c:lblOffset val="100"/>
        <c:noMultiLvlLbl val="0"/>
      </c:catAx>
      <c:valAx>
        <c:axId val="198954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8954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D"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5 Kabupaten/Kota dengan Tingkat Kemiskinan Terendah di Jawa Barat Tahun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Sheet1!$B$32</c:f>
              <c:strCache>
                <c:ptCount val="1"/>
                <c:pt idx="0">
                  <c:v>Persentase 
Kemiskinan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Sheet1!$A$33:$A$37</c:f>
              <c:strCache>
                <c:ptCount val="5"/>
                <c:pt idx="0">
                  <c:v>Cimahi</c:v>
                </c:pt>
                <c:pt idx="1">
                  <c:v>Bekasi</c:v>
                </c:pt>
                <c:pt idx="2">
                  <c:v>Bekasi</c:v>
                </c:pt>
                <c:pt idx="3">
                  <c:v>Bandung</c:v>
                </c:pt>
                <c:pt idx="4">
                  <c:v>Depok</c:v>
                </c:pt>
              </c:strCache>
            </c:strRef>
          </c:cat>
          <c:val>
            <c:numRef>
              <c:f>Sheet1!$B$33:$B$37</c:f>
              <c:numCache>
                <c:formatCode>General</c:formatCode>
                <c:ptCount val="5"/>
                <c:pt idx="0">
                  <c:v>5.1100000000000003</c:v>
                </c:pt>
                <c:pt idx="1">
                  <c:v>5.01</c:v>
                </c:pt>
                <c:pt idx="2">
                  <c:v>4.43</c:v>
                </c:pt>
                <c:pt idx="3">
                  <c:v>4.25</c:v>
                </c:pt>
                <c:pt idx="4">
                  <c:v>2.5299999999999998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DF-45D9-8D75-4D771FBCD861}"/>
            </c:ext>
          </c:extLst>
        </c:ser>
        <c:ser>
          <c:idx val="1"/>
          <c:order val="1"/>
          <c:tx>
            <c:strRef>
              <c:f>Sheet1!$C$32</c:f>
              <c:strCache>
                <c:ptCount val="1"/>
                <c:pt idx="0">
                  <c:v>Ranking 
Daerah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Sheet1!$A$33:$A$37</c:f>
              <c:strCache>
                <c:ptCount val="5"/>
                <c:pt idx="0">
                  <c:v>Cimahi</c:v>
                </c:pt>
                <c:pt idx="1">
                  <c:v>Bekasi</c:v>
                </c:pt>
                <c:pt idx="2">
                  <c:v>Bekasi</c:v>
                </c:pt>
                <c:pt idx="3">
                  <c:v>Bandung</c:v>
                </c:pt>
                <c:pt idx="4">
                  <c:v>Depok</c:v>
                </c:pt>
              </c:strCache>
            </c:strRef>
          </c:cat>
          <c:val>
            <c:numRef>
              <c:f>Sheet1!$C$33:$C$37</c:f>
              <c:numCache>
                <c:formatCode>General</c:formatCode>
                <c:ptCount val="5"/>
                <c:pt idx="0">
                  <c:v>23</c:v>
                </c:pt>
                <c:pt idx="1">
                  <c:v>24</c:v>
                </c:pt>
                <c:pt idx="2">
                  <c:v>25</c:v>
                </c:pt>
                <c:pt idx="3">
                  <c:v>26</c:v>
                </c:pt>
                <c:pt idx="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DF-45D9-8D75-4D771FBCD8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7637296"/>
        <c:axId val="207640656"/>
      </c:barChart>
      <c:catAx>
        <c:axId val="20763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7640656"/>
        <c:crosses val="autoZero"/>
        <c:auto val="1"/>
        <c:lblAlgn val="ctr"/>
        <c:lblOffset val="100"/>
        <c:noMultiLvlLbl val="0"/>
      </c:catAx>
      <c:valAx>
        <c:axId val="20764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763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34924</xdr:colOff>
      <xdr:row>43</xdr:row>
      <xdr:rowOff>28574</xdr:rowOff>
    </xdr:from>
    <xdr:to>
      <xdr:col>5</xdr:col>
      <xdr:colOff>736599</xdr:colOff>
      <xdr:row>58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E11351-DF2E-4A67-12EC-282CD196A4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</xdr:colOff>
      <xdr:row>60</xdr:row>
      <xdr:rowOff>66674</xdr:rowOff>
    </xdr:from>
    <xdr:to>
      <xdr:col>5</xdr:col>
      <xdr:colOff>736600</xdr:colOff>
      <xdr:row>76</xdr:row>
      <xdr:rowOff>19049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236877-A0C2-55C1-52A5-66FD5DC81B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94D87-3D7D-4EA6-888A-C64E2876FB21}">
  <dimension ref="A1:F37"/>
  <sheetViews>
    <sheetView tabSelected="1" topLeftCell="A35" workbookViewId="0">
      <selection activeCell="H60" sqref="H60"/>
    </sheetView>
  </sheetViews>
  <sheetFormatPr defaultRowHeight="15.5" x14ac:dyDescent="0.35"/>
  <cols>
    <col min="1" max="1" width="14" style="4" customWidth="1"/>
    <col min="2" max="2" width="12.26953125" style="4" customWidth="1"/>
    <col min="3" max="3" width="10.1796875" style="4" customWidth="1"/>
    <col min="4" max="4" width="13" style="4" customWidth="1"/>
    <col min="5" max="5" width="10.453125" style="4" customWidth="1"/>
    <col min="6" max="6" width="10.7265625" style="4" customWidth="1"/>
    <col min="7" max="16384" width="8.7265625" style="4"/>
  </cols>
  <sheetData>
    <row r="1" spans="1:6" x14ac:dyDescent="0.35">
      <c r="A1" s="1" t="s">
        <v>6</v>
      </c>
      <c r="B1" s="2"/>
      <c r="C1" s="3"/>
    </row>
    <row r="2" spans="1:6" x14ac:dyDescent="0.35">
      <c r="B2" s="2"/>
      <c r="C2" s="3"/>
    </row>
    <row r="3" spans="1:6" ht="30" x14ac:dyDescent="0.35">
      <c r="A3" s="5" t="s">
        <v>0</v>
      </c>
      <c r="B3" s="6" t="s">
        <v>1</v>
      </c>
      <c r="C3" s="5" t="s">
        <v>2</v>
      </c>
      <c r="D3" s="5" t="s">
        <v>3</v>
      </c>
      <c r="E3" s="5" t="s">
        <v>4</v>
      </c>
      <c r="F3" s="5" t="s">
        <v>5</v>
      </c>
    </row>
    <row r="4" spans="1:6" x14ac:dyDescent="0.35">
      <c r="A4" s="7" t="s">
        <v>18</v>
      </c>
      <c r="B4" s="7">
        <v>12.77</v>
      </c>
      <c r="C4" s="7">
        <f t="shared" ref="C4:C30" si="0">RANK(B4,$B$4:$B$30,0)</f>
        <v>1</v>
      </c>
      <c r="D4" s="8">
        <f>AVERAGE($B$4:$B$30)</f>
        <v>8.6540740740740745</v>
      </c>
      <c r="E4" s="7">
        <f>MAX($B$4:$B$30)</f>
        <v>12.77</v>
      </c>
      <c r="F4" s="7">
        <f>MIN($B$4:$B$30)</f>
        <v>2.5299999999999998</v>
      </c>
    </row>
    <row r="5" spans="1:6" x14ac:dyDescent="0.35">
      <c r="A5" s="7" t="s">
        <v>14</v>
      </c>
      <c r="B5" s="7">
        <v>12.76</v>
      </c>
      <c r="C5" s="7">
        <f t="shared" si="0"/>
        <v>2</v>
      </c>
      <c r="D5" s="7"/>
      <c r="E5" s="7"/>
      <c r="F5" s="7"/>
    </row>
    <row r="6" spans="1:6" x14ac:dyDescent="0.35">
      <c r="A6" s="7" t="s">
        <v>12</v>
      </c>
      <c r="B6" s="7">
        <v>12.72</v>
      </c>
      <c r="C6" s="7">
        <f t="shared" si="0"/>
        <v>3</v>
      </c>
      <c r="D6" s="7"/>
      <c r="E6" s="7"/>
      <c r="F6" s="7"/>
    </row>
    <row r="7" spans="1:6" x14ac:dyDescent="0.35">
      <c r="A7" s="7" t="s">
        <v>15</v>
      </c>
      <c r="B7" s="7">
        <v>12.01</v>
      </c>
      <c r="C7" s="7">
        <f t="shared" si="0"/>
        <v>4</v>
      </c>
      <c r="D7" s="7"/>
      <c r="E7" s="7"/>
      <c r="F7" s="7"/>
    </row>
    <row r="8" spans="1:6" x14ac:dyDescent="0.35">
      <c r="A8" s="7" t="s">
        <v>16</v>
      </c>
      <c r="B8" s="7">
        <v>11.94</v>
      </c>
      <c r="C8" s="7">
        <f t="shared" si="0"/>
        <v>5</v>
      </c>
      <c r="D8" s="7"/>
      <c r="E8" s="7"/>
      <c r="F8" s="7"/>
    </row>
    <row r="9" spans="1:6" x14ac:dyDescent="0.35">
      <c r="A9" s="7" t="s">
        <v>23</v>
      </c>
      <c r="B9" s="7">
        <v>10.82</v>
      </c>
      <c r="C9" s="7">
        <f t="shared" si="0"/>
        <v>6</v>
      </c>
      <c r="D9" s="7"/>
      <c r="E9" s="7"/>
      <c r="F9" s="7"/>
    </row>
    <row r="10" spans="1:6" x14ac:dyDescent="0.35">
      <c r="A10" s="7" t="s">
        <v>12</v>
      </c>
      <c r="B10" s="7">
        <v>10.73</v>
      </c>
      <c r="C10" s="7">
        <f t="shared" si="0"/>
        <v>7</v>
      </c>
      <c r="D10" s="7"/>
      <c r="E10" s="7"/>
      <c r="F10" s="7"/>
    </row>
    <row r="11" spans="1:6" x14ac:dyDescent="0.35">
      <c r="A11" s="7" t="s">
        <v>9</v>
      </c>
      <c r="B11" s="7">
        <v>10.55</v>
      </c>
      <c r="C11" s="7">
        <f t="shared" si="0"/>
        <v>8</v>
      </c>
      <c r="D11" s="7"/>
      <c r="E11" s="7"/>
      <c r="F11" s="7"/>
    </row>
    <row r="12" spans="1:6" x14ac:dyDescent="0.35">
      <c r="A12" s="7" t="s">
        <v>11</v>
      </c>
      <c r="B12" s="7">
        <v>10.42</v>
      </c>
      <c r="C12" s="7">
        <f t="shared" si="0"/>
        <v>9</v>
      </c>
      <c r="D12" s="7"/>
      <c r="E12" s="7"/>
      <c r="F12" s="7"/>
    </row>
    <row r="13" spans="1:6" x14ac:dyDescent="0.35">
      <c r="A13" s="7" t="s">
        <v>17</v>
      </c>
      <c r="B13" s="7">
        <v>10.14</v>
      </c>
      <c r="C13" s="7">
        <f t="shared" si="0"/>
        <v>10</v>
      </c>
      <c r="D13" s="7"/>
      <c r="E13" s="7"/>
      <c r="F13" s="7"/>
    </row>
    <row r="14" spans="1:6" x14ac:dyDescent="0.35">
      <c r="A14" s="7" t="s">
        <v>15</v>
      </c>
      <c r="B14" s="7">
        <v>9.82</v>
      </c>
      <c r="C14" s="7">
        <f t="shared" si="0"/>
        <v>11</v>
      </c>
      <c r="D14" s="7"/>
      <c r="E14" s="7"/>
      <c r="F14" s="7"/>
    </row>
    <row r="15" spans="1:6" x14ac:dyDescent="0.35">
      <c r="A15" s="7" t="s">
        <v>19</v>
      </c>
      <c r="B15" s="7">
        <v>9.75</v>
      </c>
      <c r="C15" s="7">
        <f t="shared" si="0"/>
        <v>12</v>
      </c>
      <c r="D15" s="7"/>
      <c r="E15" s="7"/>
      <c r="F15" s="7"/>
    </row>
    <row r="16" spans="1:6" x14ac:dyDescent="0.35">
      <c r="A16" s="7" t="s">
        <v>24</v>
      </c>
      <c r="B16" s="7">
        <v>9.32</v>
      </c>
      <c r="C16" s="7">
        <f t="shared" si="0"/>
        <v>13</v>
      </c>
      <c r="D16" s="7"/>
      <c r="E16" s="7"/>
      <c r="F16" s="7"/>
    </row>
    <row r="17" spans="1:6" x14ac:dyDescent="0.35">
      <c r="A17" s="7" t="s">
        <v>20</v>
      </c>
      <c r="B17" s="7">
        <v>8.6999999999999993</v>
      </c>
      <c r="C17" s="7">
        <f t="shared" si="0"/>
        <v>14</v>
      </c>
      <c r="D17" s="7"/>
      <c r="E17" s="7"/>
      <c r="F17" s="7"/>
    </row>
    <row r="18" spans="1:6" x14ac:dyDescent="0.35">
      <c r="A18" s="7" t="s">
        <v>21</v>
      </c>
      <c r="B18" s="7">
        <v>8.44</v>
      </c>
      <c r="C18" s="7">
        <f t="shared" si="0"/>
        <v>15</v>
      </c>
      <c r="D18" s="7"/>
      <c r="E18" s="7"/>
      <c r="F18" s="7"/>
    </row>
    <row r="19" spans="1:6" x14ac:dyDescent="0.35">
      <c r="A19" s="7" t="s">
        <v>8</v>
      </c>
      <c r="B19" s="7">
        <v>8.02</v>
      </c>
      <c r="C19" s="7">
        <f t="shared" si="0"/>
        <v>16</v>
      </c>
      <c r="D19" s="7"/>
      <c r="E19" s="7"/>
      <c r="F19" s="7"/>
    </row>
    <row r="20" spans="1:6" x14ac:dyDescent="0.35">
      <c r="A20" s="7" t="s">
        <v>7</v>
      </c>
      <c r="B20" s="7">
        <v>7.73</v>
      </c>
      <c r="C20" s="7">
        <f t="shared" si="0"/>
        <v>17</v>
      </c>
      <c r="D20" s="7"/>
      <c r="E20" s="7"/>
      <c r="F20" s="7"/>
    </row>
    <row r="21" spans="1:6" x14ac:dyDescent="0.35">
      <c r="A21" s="7" t="s">
        <v>13</v>
      </c>
      <c r="B21" s="7">
        <v>7.72</v>
      </c>
      <c r="C21" s="7">
        <f t="shared" si="0"/>
        <v>18</v>
      </c>
      <c r="D21" s="7"/>
      <c r="E21" s="7"/>
      <c r="F21" s="7"/>
    </row>
    <row r="22" spans="1:6" x14ac:dyDescent="0.35">
      <c r="A22" s="7" t="s">
        <v>8</v>
      </c>
      <c r="B22" s="7">
        <v>7.34</v>
      </c>
      <c r="C22" s="7">
        <f t="shared" si="0"/>
        <v>19</v>
      </c>
      <c r="D22" s="7"/>
      <c r="E22" s="7"/>
      <c r="F22" s="7"/>
    </row>
    <row r="23" spans="1:6" x14ac:dyDescent="0.35">
      <c r="A23" s="7" t="s">
        <v>7</v>
      </c>
      <c r="B23" s="7">
        <v>7.1</v>
      </c>
      <c r="C23" s="7">
        <f t="shared" si="0"/>
        <v>20</v>
      </c>
      <c r="D23" s="7"/>
      <c r="E23" s="7"/>
      <c r="F23" s="7"/>
    </row>
    <row r="24" spans="1:6" x14ac:dyDescent="0.35">
      <c r="A24" s="7" t="s">
        <v>10</v>
      </c>
      <c r="B24" s="7">
        <v>6.8</v>
      </c>
      <c r="C24" s="7">
        <f t="shared" si="0"/>
        <v>21</v>
      </c>
      <c r="D24" s="7"/>
      <c r="E24" s="7"/>
      <c r="F24" s="7"/>
    </row>
    <row r="25" spans="1:6" x14ac:dyDescent="0.35">
      <c r="A25" s="7" t="s">
        <v>27</v>
      </c>
      <c r="B25" s="7">
        <v>6.73</v>
      </c>
      <c r="C25" s="7">
        <f t="shared" si="0"/>
        <v>22</v>
      </c>
      <c r="D25" s="7"/>
      <c r="E25" s="7"/>
      <c r="F25" s="7"/>
    </row>
    <row r="26" spans="1:6" x14ac:dyDescent="0.35">
      <c r="A26" s="7" t="s">
        <v>26</v>
      </c>
      <c r="B26" s="7">
        <v>5.1100000000000003</v>
      </c>
      <c r="C26" s="7">
        <f t="shared" si="0"/>
        <v>23</v>
      </c>
      <c r="D26" s="7"/>
      <c r="E26" s="7"/>
      <c r="F26" s="7"/>
    </row>
    <row r="27" spans="1:6" x14ac:dyDescent="0.35">
      <c r="A27" s="7" t="s">
        <v>22</v>
      </c>
      <c r="B27" s="7">
        <v>5.01</v>
      </c>
      <c r="C27" s="7">
        <f t="shared" si="0"/>
        <v>24</v>
      </c>
      <c r="D27" s="7"/>
      <c r="E27" s="7"/>
      <c r="F27" s="7"/>
    </row>
    <row r="28" spans="1:6" x14ac:dyDescent="0.35">
      <c r="A28" s="7" t="s">
        <v>22</v>
      </c>
      <c r="B28" s="7">
        <v>4.43</v>
      </c>
      <c r="C28" s="7">
        <f t="shared" si="0"/>
        <v>25</v>
      </c>
      <c r="D28" s="7"/>
      <c r="E28" s="7"/>
      <c r="F28" s="7"/>
    </row>
    <row r="29" spans="1:6" x14ac:dyDescent="0.35">
      <c r="A29" s="7" t="s">
        <v>10</v>
      </c>
      <c r="B29" s="7">
        <v>4.25</v>
      </c>
      <c r="C29" s="7">
        <f t="shared" si="0"/>
        <v>26</v>
      </c>
      <c r="D29" s="7"/>
      <c r="E29" s="7"/>
      <c r="F29" s="7"/>
    </row>
    <row r="30" spans="1:6" x14ac:dyDescent="0.35">
      <c r="A30" s="7" t="s">
        <v>25</v>
      </c>
      <c r="B30" s="7">
        <v>2.5299999999999998</v>
      </c>
      <c r="C30" s="7">
        <f t="shared" si="0"/>
        <v>27</v>
      </c>
      <c r="D30" s="7"/>
      <c r="E30" s="7"/>
      <c r="F30" s="7"/>
    </row>
    <row r="32" spans="1:6" ht="30" x14ac:dyDescent="0.35">
      <c r="A32" s="5" t="s">
        <v>0</v>
      </c>
      <c r="B32" s="6" t="s">
        <v>1</v>
      </c>
      <c r="C32" s="5" t="s">
        <v>2</v>
      </c>
    </row>
    <row r="33" spans="1:3" x14ac:dyDescent="0.35">
      <c r="A33" s="7" t="s">
        <v>26</v>
      </c>
      <c r="B33" s="7">
        <v>5.1100000000000003</v>
      </c>
      <c r="C33" s="7">
        <f>RANK(B33,$B$4:$B$30,0)</f>
        <v>23</v>
      </c>
    </row>
    <row r="34" spans="1:3" x14ac:dyDescent="0.35">
      <c r="A34" s="7" t="s">
        <v>22</v>
      </c>
      <c r="B34" s="7">
        <v>5.01</v>
      </c>
      <c r="C34" s="7">
        <f>RANK(B34,$B$4:$B$30,0)</f>
        <v>24</v>
      </c>
    </row>
    <row r="35" spans="1:3" x14ac:dyDescent="0.35">
      <c r="A35" s="7" t="s">
        <v>22</v>
      </c>
      <c r="B35" s="7">
        <v>4.43</v>
      </c>
      <c r="C35" s="7">
        <f>RANK(B35,$B$4:$B$30,0)</f>
        <v>25</v>
      </c>
    </row>
    <row r="36" spans="1:3" x14ac:dyDescent="0.35">
      <c r="A36" s="7" t="s">
        <v>10</v>
      </c>
      <c r="B36" s="7">
        <v>4.25</v>
      </c>
      <c r="C36" s="7">
        <f>RANK(B36,$B$4:$B$30,0)</f>
        <v>26</v>
      </c>
    </row>
    <row r="37" spans="1:3" x14ac:dyDescent="0.35">
      <c r="A37" s="7" t="s">
        <v>25</v>
      </c>
      <c r="B37" s="7">
        <v>2.5299999999999998</v>
      </c>
      <c r="C37" s="7">
        <f>RANK(B37,$B$4:$B$30,0)</f>
        <v>27</v>
      </c>
    </row>
  </sheetData>
  <sortState xmlns:xlrd2="http://schemas.microsoft.com/office/spreadsheetml/2017/richdata2" ref="A4:F30">
    <sortCondition ref="C4:C30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2026-06-03T03:29:23Z</dcterms:created>
  <dcterms:modified xsi:type="dcterms:W3CDTF">2026-06-09T06:50:07Z</dcterms:modified>
</cp:coreProperties>
</file>